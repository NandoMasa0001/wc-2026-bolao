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nando/Desktop/Bolao/"/>
    </mc:Choice>
  </mc:AlternateContent>
  <xr:revisionPtr revIDLastSave="0" documentId="8_{6D3B55CE-9D16-164B-8429-945F92178F4B}" xr6:coauthVersionLast="47" xr6:coauthVersionMax="47" xr10:uidLastSave="{00000000-0000-0000-0000-000000000000}"/>
  <bookViews>
    <workbookView xWindow="0" yWindow="660" windowWidth="16380" windowHeight="8200" tabRatio="500" xr2:uid="{00000000-000D-0000-FFFF-FFFF00000000}"/>
  </bookViews>
  <sheets>
    <sheet name="Previsao por selecao" sheetId="1" r:id="rId1"/>
    <sheet name="Resumo por fase" sheetId="2" r:id="rId2"/>
    <sheet name="Chaveamento" sheetId="3" r:id="rId3"/>
    <sheet name="Pontuacao do bolao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1" i="2" l="1"/>
  <c r="D11" i="2" s="1"/>
  <c r="B11" i="2"/>
  <c r="C10" i="2"/>
  <c r="D10" i="2" s="1"/>
  <c r="B10" i="2"/>
  <c r="C9" i="2"/>
  <c r="D9" i="2" s="1"/>
  <c r="B9" i="2"/>
  <c r="C8" i="2"/>
  <c r="D8" i="2" s="1"/>
  <c r="B8" i="2"/>
  <c r="C7" i="2"/>
  <c r="D7" i="2" s="1"/>
  <c r="B7" i="2"/>
  <c r="C6" i="2"/>
  <c r="D6" i="2" s="1"/>
  <c r="B6" i="2"/>
  <c r="C5" i="2"/>
  <c r="D5" i="2" s="1"/>
  <c r="B5" i="2"/>
  <c r="C4" i="2"/>
  <c r="C12" i="2" s="1"/>
  <c r="B4" i="2"/>
  <c r="B12" i="2" s="1"/>
  <c r="D4" i="2" l="1"/>
  <c r="D12" i="2" s="1"/>
</calcChain>
</file>

<file path=xl/sharedStrings.xml><?xml version="1.0" encoding="utf-8"?>
<sst xmlns="http://schemas.openxmlformats.org/spreadsheetml/2006/main" count="399" uniqueCount="132">
  <si>
    <t>Copa do Mundo 2026 — Previsão por seleção</t>
  </si>
  <si>
    <t>Fase (odds): só pelas cotações das casas. Fase (chave): simulando o chaveamento do sorteio de 5/12/2025.</t>
  </si>
  <si>
    <t>#</t>
  </si>
  <si>
    <t>Seleção</t>
  </si>
  <si>
    <t>Grupo</t>
  </si>
  <si>
    <t>Fase prevista (odds)</t>
  </si>
  <si>
    <t>Fase estimada (chave)</t>
  </si>
  <si>
    <t>Espanha</t>
  </si>
  <si>
    <t>H</t>
  </si>
  <si>
    <t>Campeão</t>
  </si>
  <si>
    <t>Campeã</t>
  </si>
  <si>
    <t>França</t>
  </si>
  <si>
    <t>I</t>
  </si>
  <si>
    <t>Final (vice)</t>
  </si>
  <si>
    <t>3º lugar</t>
  </si>
  <si>
    <t>Inglaterra</t>
  </si>
  <si>
    <t>L</t>
  </si>
  <si>
    <t>Semifinais</t>
  </si>
  <si>
    <t>Vice (final)</t>
  </si>
  <si>
    <t>Brasil</t>
  </si>
  <si>
    <t>C</t>
  </si>
  <si>
    <t>Quartas de final</t>
  </si>
  <si>
    <t>Argentina</t>
  </si>
  <si>
    <t>J</t>
  </si>
  <si>
    <t>4º lugar</t>
  </si>
  <si>
    <t>Portugal</t>
  </si>
  <si>
    <t>K</t>
  </si>
  <si>
    <t>Alemanha</t>
  </si>
  <si>
    <t>E</t>
  </si>
  <si>
    <t>Oitavas de final</t>
  </si>
  <si>
    <t>Holanda</t>
  </si>
  <si>
    <t>F</t>
  </si>
  <si>
    <t>Noruega</t>
  </si>
  <si>
    <t>Bélgica</t>
  </si>
  <si>
    <t>G</t>
  </si>
  <si>
    <t>Colômbia</t>
  </si>
  <si>
    <t>Marrocos</t>
  </si>
  <si>
    <t>Round of 32</t>
  </si>
  <si>
    <t>Estados Unidos</t>
  </si>
  <si>
    <t>D</t>
  </si>
  <si>
    <t>Japão</t>
  </si>
  <si>
    <t>Uruguai</t>
  </si>
  <si>
    <t>Croácia</t>
  </si>
  <si>
    <t>Equador</t>
  </si>
  <si>
    <t>México</t>
  </si>
  <si>
    <t>A</t>
  </si>
  <si>
    <t>Senegal</t>
  </si>
  <si>
    <t>Suécia</t>
  </si>
  <si>
    <t>Suíça</t>
  </si>
  <si>
    <t>B</t>
  </si>
  <si>
    <t>Turquia</t>
  </si>
  <si>
    <t>Áustria</t>
  </si>
  <si>
    <t>Canadá</t>
  </si>
  <si>
    <t>Paraguai</t>
  </si>
  <si>
    <t>Tchéquia</t>
  </si>
  <si>
    <t>Costa do Marfim</t>
  </si>
  <si>
    <t>Argélia</t>
  </si>
  <si>
    <t>Bósnia e Herzegovina</t>
  </si>
  <si>
    <t>Egito</t>
  </si>
  <si>
    <t>Gana</t>
  </si>
  <si>
    <t>Coreia do Sul</t>
  </si>
  <si>
    <t>Escócia</t>
  </si>
  <si>
    <t>Fase de grupos</t>
  </si>
  <si>
    <t>Austrália</t>
  </si>
  <si>
    <t>Irã</t>
  </si>
  <si>
    <t>Tunísia</t>
  </si>
  <si>
    <t>RD Congo</t>
  </si>
  <si>
    <t>Cabo Verde</t>
  </si>
  <si>
    <t>Iraque</t>
  </si>
  <si>
    <t>Jordânia</t>
  </si>
  <si>
    <t>Nova Zelândia</t>
  </si>
  <si>
    <t>Panamá</t>
  </si>
  <si>
    <t>Catar</t>
  </si>
  <si>
    <t>Arábia Saudita</t>
  </si>
  <si>
    <t>África do Sul</t>
  </si>
  <si>
    <t>Uzbequistão</t>
  </si>
  <si>
    <t>Curaçao</t>
  </si>
  <si>
    <t>Haiti</t>
  </si>
  <si>
    <t>Resumo — contagem de seleções por fase</t>
  </si>
  <si>
    <t>Fase</t>
  </si>
  <si>
    <t>Por odds</t>
  </si>
  <si>
    <t>Pela chave</t>
  </si>
  <si>
    <t>Diferença</t>
  </si>
  <si>
    <t>Total</t>
  </si>
  <si>
    <t>Mata-mata previsto — vencedor em negrito</t>
  </si>
  <si>
    <t>ROUND OF 32</t>
  </si>
  <si>
    <t>x</t>
  </si>
  <si>
    <t>OITAVAS DE FINAL</t>
  </si>
  <si>
    <t>QUARTAS DE FINAL</t>
  </si>
  <si>
    <t>SEMIFINAIS</t>
  </si>
  <si>
    <t>DISPUTA DE 3º LUGAR</t>
  </si>
  <si>
    <t>FINAL</t>
  </si>
  <si>
    <t>Sistema de pontuação do bolão</t>
  </si>
  <si>
    <t>Item</t>
  </si>
  <si>
    <t>Pontos</t>
  </si>
  <si>
    <t>Observação</t>
  </si>
  <si>
    <t>Por jogo (palpite de placar)</t>
  </si>
  <si>
    <t>Placar exato</t>
  </si>
  <si>
    <t>5 pts</t>
  </si>
  <si>
    <t>Base — multiplicada por fase</t>
  </si>
  <si>
    <t>Vencedor correto</t>
  </si>
  <si>
    <t>2 pts</t>
  </si>
  <si>
    <t>Empilha com os gols de um time</t>
  </si>
  <si>
    <t>Gols certos de 1 time</t>
  </si>
  <si>
    <t>1 pt</t>
  </si>
  <si>
    <t>Pulou o jogo</t>
  </si>
  <si>
    <t>0 pts</t>
  </si>
  <si>
    <t>Multiplicadores por fase (arredondar para cima)</t>
  </si>
  <si>
    <t>x1.0</t>
  </si>
  <si>
    <t>x1.25</t>
  </si>
  <si>
    <t>x1.5625</t>
  </si>
  <si>
    <t>Quartas / 3º lugar</t>
  </si>
  <si>
    <t>x1.953</t>
  </si>
  <si>
    <t>x2.441</t>
  </si>
  <si>
    <t>Final</t>
  </si>
  <si>
    <t>x3.052</t>
  </si>
  <si>
    <t>Placar exato vale 16 pts</t>
  </si>
  <si>
    <t>Bônus do torneio (sem multiplicador)</t>
  </si>
  <si>
    <t>Cada time que passa da fase de grupos</t>
  </si>
  <si>
    <t>Até 32 times — máx 160 pts</t>
  </si>
  <si>
    <t>Cada finalista correto</t>
  </si>
  <si>
    <t>20 pts</t>
  </si>
  <si>
    <t>Máx 40 pts</t>
  </si>
  <si>
    <t>Melhor jogador</t>
  </si>
  <si>
    <t>Melhor jogador jovem</t>
  </si>
  <si>
    <t>Melhor goleiro</t>
  </si>
  <si>
    <t>Dark horse (votado no final)</t>
  </si>
  <si>
    <t>15 pts</t>
  </si>
  <si>
    <t>Decepção do torneio (votado no final)</t>
  </si>
  <si>
    <t>Zebra</t>
  </si>
  <si>
    <t>Decepcao</t>
  </si>
  <si>
    <t xml:space="preserve">semi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</si>
</sst>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charset val="1"/>
    </font>
    <font>
      <b/>
      <sz val="14"/>
      <color rgb="FF003469"/>
      <name val="Arial"/>
      <family val="2"/>
    </font>
    <font>
      <i/>
      <sz val="10"/>
      <color rgb="FF5F6470"/>
      <name val="Arial"/>
      <family val="2"/>
    </font>
    <font>
      <b/>
      <sz val="11"/>
      <color rgb="FFFFFFFF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1"/>
      <color rgb="FF1A2230"/>
      <name val="Arial"/>
      <family val="2"/>
    </font>
    <font>
      <sz val="11"/>
      <color rgb="FF5F6470"/>
      <name val="Arial"/>
      <family val="2"/>
    </font>
    <font>
      <b/>
      <sz val="11"/>
      <color rgb="FF003469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003469"/>
        <bgColor rgb="FF1A2230"/>
      </patternFill>
    </fill>
    <fill>
      <patternFill patternType="solid">
        <fgColor rgb="FFFDD301"/>
        <bgColor rgb="FFFFFF00"/>
      </patternFill>
    </fill>
    <fill>
      <patternFill patternType="solid">
        <fgColor rgb="FFF79516"/>
        <bgColor rgb="FFFF6600"/>
      </patternFill>
    </fill>
    <fill>
      <patternFill patternType="solid">
        <fgColor rgb="FFABCB2D"/>
        <bgColor rgb="FFC8DA84"/>
      </patternFill>
    </fill>
    <fill>
      <patternFill patternType="solid">
        <fgColor rgb="FFEEF3D5"/>
        <bgColor rgb="FFF4F1E8"/>
      </patternFill>
    </fill>
    <fill>
      <patternFill patternType="solid">
        <fgColor rgb="FFC8DA84"/>
        <bgColor rgb="FFD9D6CB"/>
      </patternFill>
    </fill>
    <fill>
      <patternFill patternType="solid">
        <fgColor rgb="FFE2E9F1"/>
        <bgColor rgb="FFF4F1E8"/>
      </patternFill>
    </fill>
    <fill>
      <patternFill patternType="solid">
        <fgColor rgb="FFF4F1E8"/>
        <bgColor rgb="FFEEF3D5"/>
      </patternFill>
    </fill>
    <fill>
      <patternFill patternType="solid">
        <fgColor rgb="FFFFFFFF"/>
        <bgColor rgb="FFF4F1E8"/>
      </patternFill>
    </fill>
  </fills>
  <borders count="2">
    <border>
      <left/>
      <right/>
      <top/>
      <bottom/>
      <diagonal/>
    </border>
    <border>
      <left style="thin">
        <color rgb="FFD9D6CB"/>
      </left>
      <right style="thin">
        <color rgb="FFD9D6CB"/>
      </right>
      <top style="thin">
        <color rgb="FFD9D6CB"/>
      </top>
      <bottom style="thin">
        <color rgb="FFD9D6CB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6" fillId="2" borderId="0" xfId="0" applyFont="1" applyFill="1" applyAlignment="1">
      <alignment horizontal="center"/>
    </xf>
    <xf numFmtId="0" fontId="2" fillId="0" borderId="0" xfId="0" applyFont="1"/>
    <xf numFmtId="0" fontId="1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5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left"/>
    </xf>
    <xf numFmtId="0" fontId="5" fillId="3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left"/>
    </xf>
    <xf numFmtId="0" fontId="5" fillId="4" borderId="1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left"/>
    </xf>
    <xf numFmtId="1" fontId="5" fillId="5" borderId="1" xfId="0" applyNumberFormat="1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/>
    </xf>
    <xf numFmtId="0" fontId="5" fillId="7" borderId="1" xfId="0" applyFont="1" applyFill="1" applyBorder="1" applyAlignment="1">
      <alignment horizontal="left"/>
    </xf>
    <xf numFmtId="1" fontId="5" fillId="7" borderId="1" xfId="0" applyNumberFormat="1" applyFont="1" applyFill="1" applyBorder="1" applyAlignment="1">
      <alignment horizontal="center"/>
    </xf>
    <xf numFmtId="0" fontId="5" fillId="7" borderId="1" xfId="0" applyFont="1" applyFill="1" applyBorder="1" applyAlignment="1">
      <alignment horizontal="center"/>
    </xf>
    <xf numFmtId="0" fontId="5" fillId="6" borderId="1" xfId="0" applyFont="1" applyFill="1" applyBorder="1" applyAlignment="1">
      <alignment horizontal="left"/>
    </xf>
    <xf numFmtId="0" fontId="5" fillId="6" borderId="1" xfId="0" applyFont="1" applyFill="1" applyBorder="1" applyAlignment="1">
      <alignment horizontal="center"/>
    </xf>
    <xf numFmtId="0" fontId="5" fillId="8" borderId="1" xfId="0" applyFont="1" applyFill="1" applyBorder="1" applyAlignment="1">
      <alignment horizontal="left"/>
    </xf>
    <xf numFmtId="0" fontId="5" fillId="8" borderId="1" xfId="0" applyFont="1" applyFill="1" applyBorder="1" applyAlignment="1">
      <alignment horizontal="center"/>
    </xf>
    <xf numFmtId="0" fontId="5" fillId="9" borderId="1" xfId="0" applyFont="1" applyFill="1" applyBorder="1" applyAlignment="1">
      <alignment horizontal="left"/>
    </xf>
    <xf numFmtId="0" fontId="5" fillId="9" borderId="1" xfId="0" applyFont="1" applyFill="1" applyBorder="1" applyAlignment="1">
      <alignment horizontal="center"/>
    </xf>
    <xf numFmtId="0" fontId="5" fillId="10" borderId="1" xfId="0" applyFont="1" applyFill="1" applyBorder="1" applyAlignment="1">
      <alignment horizontal="left"/>
    </xf>
    <xf numFmtId="0" fontId="5" fillId="10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left"/>
    </xf>
    <xf numFmtId="0" fontId="4" fillId="3" borderId="1" xfId="0" applyFont="1" applyFill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4" fillId="5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8DA84"/>
      <rgbColor rgb="FF808080"/>
      <rgbColor rgb="FF9999FF"/>
      <rgbColor rgb="FF993366"/>
      <rgbColor rgb="FFEEF3D5"/>
      <rgbColor rgb="FFE2E9F1"/>
      <rgbColor rgb="FF660066"/>
      <rgbColor rgb="FFFF8080"/>
      <rgbColor rgb="FF0066CC"/>
      <rgbColor rgb="FFD9D6C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4F1E8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ABCB2D"/>
      <rgbColor rgb="FFFDD301"/>
      <rgbColor rgb="FFF79516"/>
      <rgbColor rgb="FFFF6600"/>
      <rgbColor rgb="FF5F6470"/>
      <rgbColor rgb="FF969696"/>
      <rgbColor rgb="FF003469"/>
      <rgbColor rgb="FF339966"/>
      <rgbColor rgb="FF003300"/>
      <rgbColor rgb="FF333300"/>
      <rgbColor rgb="FF993300"/>
      <rgbColor rgb="FF993366"/>
      <rgbColor rgb="FF333399"/>
      <rgbColor rgb="FF1A223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2"/>
  <sheetViews>
    <sheetView tabSelected="1" zoomScale="150" zoomScaleNormal="150" workbookViewId="0">
      <pane ySplit="4" topLeftCell="A5" activePane="bottomLeft" state="frozen"/>
      <selection pane="bottomLeft" activeCell="A6" sqref="A6"/>
    </sheetView>
  </sheetViews>
  <sheetFormatPr baseColWidth="10" defaultColWidth="8.6640625" defaultRowHeight="15" x14ac:dyDescent="0.2"/>
  <cols>
    <col min="1" max="1" width="5" customWidth="1"/>
    <col min="2" max="2" width="24" customWidth="1"/>
    <col min="3" max="3" width="7" customWidth="1"/>
    <col min="4" max="5" width="22" customWidth="1"/>
    <col min="6" max="7" width="14" customWidth="1"/>
  </cols>
  <sheetData>
    <row r="1" spans="1:7" ht="18" x14ac:dyDescent="0.2">
      <c r="A1" s="3" t="s">
        <v>0</v>
      </c>
      <c r="B1" s="3"/>
      <c r="C1" s="3"/>
      <c r="D1" s="3"/>
      <c r="E1" s="3"/>
      <c r="F1" s="3"/>
      <c r="G1" s="3"/>
    </row>
    <row r="2" spans="1:7" x14ac:dyDescent="0.2">
      <c r="A2" s="2" t="s">
        <v>1</v>
      </c>
      <c r="B2" s="2"/>
      <c r="C2" s="2"/>
      <c r="D2" s="2"/>
      <c r="E2" s="2"/>
      <c r="F2" s="2"/>
      <c r="G2" s="2"/>
    </row>
    <row r="4" spans="1:7" ht="31.5" customHeight="1" x14ac:dyDescent="0.2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129</v>
      </c>
      <c r="G4" s="4" t="s">
        <v>130</v>
      </c>
    </row>
    <row r="5" spans="1:7" x14ac:dyDescent="0.2">
      <c r="A5" s="5">
        <v>1</v>
      </c>
      <c r="B5" s="6" t="s">
        <v>7</v>
      </c>
      <c r="C5" s="5" t="s">
        <v>8</v>
      </c>
      <c r="D5" s="7" t="s">
        <v>9</v>
      </c>
      <c r="E5" s="7" t="s">
        <v>10</v>
      </c>
      <c r="F5" s="5" t="s">
        <v>86</v>
      </c>
      <c r="G5" s="5"/>
    </row>
    <row r="6" spans="1:7" x14ac:dyDescent="0.2">
      <c r="A6" s="5">
        <v>2</v>
      </c>
      <c r="B6" s="6" t="s">
        <v>11</v>
      </c>
      <c r="C6" s="5" t="s">
        <v>12</v>
      </c>
      <c r="D6" s="8" t="s">
        <v>13</v>
      </c>
      <c r="E6" s="9" t="s">
        <v>14</v>
      </c>
      <c r="F6" s="5" t="s">
        <v>86</v>
      </c>
      <c r="G6" s="5"/>
    </row>
    <row r="7" spans="1:7" x14ac:dyDescent="0.2">
      <c r="A7" s="5">
        <v>3</v>
      </c>
      <c r="B7" s="6" t="s">
        <v>15</v>
      </c>
      <c r="C7" s="5" t="s">
        <v>16</v>
      </c>
      <c r="D7" s="9" t="s">
        <v>17</v>
      </c>
      <c r="E7" s="8" t="s">
        <v>18</v>
      </c>
      <c r="F7" s="5" t="s">
        <v>86</v>
      </c>
      <c r="G7" s="5"/>
    </row>
    <row r="8" spans="1:7" x14ac:dyDescent="0.2">
      <c r="A8" s="10">
        <v>4</v>
      </c>
      <c r="B8" s="11" t="s">
        <v>19</v>
      </c>
      <c r="C8" s="10" t="s">
        <v>20</v>
      </c>
      <c r="D8" s="12" t="s">
        <v>17</v>
      </c>
      <c r="E8" s="13" t="s">
        <v>21</v>
      </c>
      <c r="F8" s="10" t="s">
        <v>86</v>
      </c>
      <c r="G8" s="10"/>
    </row>
    <row r="9" spans="1:7" x14ac:dyDescent="0.2">
      <c r="A9" s="5">
        <v>5</v>
      </c>
      <c r="B9" s="6" t="s">
        <v>22</v>
      </c>
      <c r="C9" s="5" t="s">
        <v>23</v>
      </c>
      <c r="D9" s="14" t="s">
        <v>21</v>
      </c>
      <c r="E9" s="15" t="s">
        <v>24</v>
      </c>
      <c r="F9" s="5" t="s">
        <v>86</v>
      </c>
      <c r="G9" s="5"/>
    </row>
    <row r="10" spans="1:7" x14ac:dyDescent="0.2">
      <c r="A10" s="10">
        <v>6</v>
      </c>
      <c r="B10" s="11" t="s">
        <v>25</v>
      </c>
      <c r="C10" s="10" t="s">
        <v>26</v>
      </c>
      <c r="D10" s="13" t="s">
        <v>21</v>
      </c>
      <c r="E10" s="13" t="s">
        <v>21</v>
      </c>
      <c r="F10" s="10" t="s">
        <v>86</v>
      </c>
      <c r="G10" s="10"/>
    </row>
    <row r="11" spans="1:7" x14ac:dyDescent="0.2">
      <c r="A11" s="10">
        <v>7</v>
      </c>
      <c r="B11" s="11" t="s">
        <v>27</v>
      </c>
      <c r="C11" s="10" t="s">
        <v>28</v>
      </c>
      <c r="D11" s="13" t="s">
        <v>21</v>
      </c>
      <c r="E11" s="16" t="s">
        <v>29</v>
      </c>
      <c r="F11" s="10" t="s">
        <v>131</v>
      </c>
      <c r="G11" s="10"/>
    </row>
    <row r="12" spans="1:7" x14ac:dyDescent="0.2">
      <c r="A12" s="10">
        <v>8</v>
      </c>
      <c r="B12" s="11" t="s">
        <v>30</v>
      </c>
      <c r="C12" s="10" t="s">
        <v>31</v>
      </c>
      <c r="D12" s="13" t="s">
        <v>21</v>
      </c>
      <c r="E12" s="13" t="s">
        <v>21</v>
      </c>
      <c r="F12" s="10" t="s">
        <v>131</v>
      </c>
      <c r="G12" s="10"/>
    </row>
    <row r="13" spans="1:7" x14ac:dyDescent="0.2">
      <c r="A13" s="10">
        <v>9</v>
      </c>
      <c r="B13" s="11" t="s">
        <v>32</v>
      </c>
      <c r="C13" s="10" t="s">
        <v>12</v>
      </c>
      <c r="D13" s="16" t="s">
        <v>29</v>
      </c>
      <c r="E13" s="16" t="s">
        <v>29</v>
      </c>
      <c r="F13" s="10" t="s">
        <v>131</v>
      </c>
      <c r="G13" s="10"/>
    </row>
    <row r="14" spans="1:7" x14ac:dyDescent="0.2">
      <c r="A14" s="10">
        <v>10</v>
      </c>
      <c r="B14" s="11" t="s">
        <v>33</v>
      </c>
      <c r="C14" s="10" t="s">
        <v>34</v>
      </c>
      <c r="D14" s="16" t="s">
        <v>29</v>
      </c>
      <c r="E14" s="13" t="s">
        <v>21</v>
      </c>
      <c r="F14" s="10"/>
      <c r="G14" s="10"/>
    </row>
    <row r="15" spans="1:7" x14ac:dyDescent="0.2">
      <c r="A15" s="10">
        <v>11</v>
      </c>
      <c r="B15" s="11" t="s">
        <v>35</v>
      </c>
      <c r="C15" s="10" t="s">
        <v>26</v>
      </c>
      <c r="D15" s="16" t="s">
        <v>29</v>
      </c>
      <c r="E15" s="16" t="s">
        <v>29</v>
      </c>
      <c r="F15" s="10"/>
      <c r="G15" s="10"/>
    </row>
    <row r="16" spans="1:7" x14ac:dyDescent="0.2">
      <c r="A16" s="10">
        <v>12</v>
      </c>
      <c r="B16" s="11" t="s">
        <v>36</v>
      </c>
      <c r="C16" s="10" t="s">
        <v>20</v>
      </c>
      <c r="D16" s="16" t="s">
        <v>29</v>
      </c>
      <c r="E16" s="17" t="s">
        <v>37</v>
      </c>
      <c r="F16" s="10"/>
      <c r="G16" s="10"/>
    </row>
    <row r="17" spans="1:7" x14ac:dyDescent="0.2">
      <c r="A17" s="10">
        <v>13</v>
      </c>
      <c r="B17" s="11" t="s">
        <v>38</v>
      </c>
      <c r="C17" s="10" t="s">
        <v>39</v>
      </c>
      <c r="D17" s="16" t="s">
        <v>29</v>
      </c>
      <c r="E17" s="16" t="s">
        <v>29</v>
      </c>
      <c r="F17" s="10"/>
      <c r="G17" s="10"/>
    </row>
    <row r="18" spans="1:7" x14ac:dyDescent="0.2">
      <c r="A18" s="10">
        <v>14</v>
      </c>
      <c r="B18" s="11" t="s">
        <v>40</v>
      </c>
      <c r="C18" s="10" t="s">
        <v>31</v>
      </c>
      <c r="D18" s="16" t="s">
        <v>29</v>
      </c>
      <c r="E18" s="17" t="s">
        <v>37</v>
      </c>
      <c r="F18" s="10"/>
      <c r="G18" s="10"/>
    </row>
    <row r="19" spans="1:7" x14ac:dyDescent="0.2">
      <c r="A19" s="10">
        <v>15</v>
      </c>
      <c r="B19" s="11" t="s">
        <v>41</v>
      </c>
      <c r="C19" s="10" t="s">
        <v>8</v>
      </c>
      <c r="D19" s="16" t="s">
        <v>29</v>
      </c>
      <c r="E19" s="17" t="s">
        <v>37</v>
      </c>
      <c r="F19" s="10"/>
      <c r="G19" s="10"/>
    </row>
    <row r="20" spans="1:7" x14ac:dyDescent="0.2">
      <c r="A20" s="10">
        <v>16</v>
      </c>
      <c r="B20" s="11" t="s">
        <v>42</v>
      </c>
      <c r="C20" s="10" t="s">
        <v>16</v>
      </c>
      <c r="D20" s="16" t="s">
        <v>29</v>
      </c>
      <c r="E20" s="17" t="s">
        <v>37</v>
      </c>
      <c r="F20" s="10"/>
      <c r="G20" s="10"/>
    </row>
    <row r="21" spans="1:7" x14ac:dyDescent="0.2">
      <c r="A21" s="10">
        <v>17</v>
      </c>
      <c r="B21" s="11" t="s">
        <v>43</v>
      </c>
      <c r="C21" s="10" t="s">
        <v>28</v>
      </c>
      <c r="D21" s="17" t="s">
        <v>37</v>
      </c>
      <c r="E21" s="17" t="s">
        <v>37</v>
      </c>
      <c r="F21" s="10"/>
      <c r="G21" s="10"/>
    </row>
    <row r="22" spans="1:7" x14ac:dyDescent="0.2">
      <c r="A22" s="10">
        <v>18</v>
      </c>
      <c r="B22" s="11" t="s">
        <v>44</v>
      </c>
      <c r="C22" s="10" t="s">
        <v>45</v>
      </c>
      <c r="D22" s="17" t="s">
        <v>37</v>
      </c>
      <c r="E22" s="16" t="s">
        <v>29</v>
      </c>
      <c r="F22" s="10"/>
      <c r="G22" s="10"/>
    </row>
    <row r="23" spans="1:7" x14ac:dyDescent="0.2">
      <c r="A23" s="10">
        <v>19</v>
      </c>
      <c r="B23" s="11" t="s">
        <v>46</v>
      </c>
      <c r="C23" s="10" t="s">
        <v>12</v>
      </c>
      <c r="D23" s="17" t="s">
        <v>37</v>
      </c>
      <c r="E23" s="17" t="s">
        <v>37</v>
      </c>
      <c r="F23" s="10"/>
      <c r="G23" s="10"/>
    </row>
    <row r="24" spans="1:7" x14ac:dyDescent="0.2">
      <c r="A24" s="10">
        <v>20</v>
      </c>
      <c r="B24" s="11" t="s">
        <v>47</v>
      </c>
      <c r="C24" s="10" t="s">
        <v>31</v>
      </c>
      <c r="D24" s="17" t="s">
        <v>37</v>
      </c>
      <c r="E24" s="17" t="s">
        <v>37</v>
      </c>
      <c r="F24" s="10"/>
      <c r="G24" s="10"/>
    </row>
    <row r="25" spans="1:7" x14ac:dyDescent="0.2">
      <c r="A25" s="10">
        <v>21</v>
      </c>
      <c r="B25" s="11" t="s">
        <v>48</v>
      </c>
      <c r="C25" s="10" t="s">
        <v>49</v>
      </c>
      <c r="D25" s="17" t="s">
        <v>37</v>
      </c>
      <c r="E25" s="16" t="s">
        <v>29</v>
      </c>
      <c r="F25" s="10"/>
      <c r="G25" s="10"/>
    </row>
    <row r="26" spans="1:7" x14ac:dyDescent="0.2">
      <c r="A26" s="10">
        <v>22</v>
      </c>
      <c r="B26" s="11" t="s">
        <v>50</v>
      </c>
      <c r="C26" s="10" t="s">
        <v>39</v>
      </c>
      <c r="D26" s="17" t="s">
        <v>37</v>
      </c>
      <c r="E26" s="16" t="s">
        <v>29</v>
      </c>
      <c r="F26" s="10"/>
      <c r="G26" s="10"/>
    </row>
    <row r="27" spans="1:7" x14ac:dyDescent="0.2">
      <c r="A27" s="10">
        <v>23</v>
      </c>
      <c r="B27" s="11" t="s">
        <v>51</v>
      </c>
      <c r="C27" s="10" t="s">
        <v>23</v>
      </c>
      <c r="D27" s="17" t="s">
        <v>37</v>
      </c>
      <c r="E27" s="17" t="s">
        <v>37</v>
      </c>
      <c r="F27" s="10"/>
      <c r="G27" s="10" t="s">
        <v>86</v>
      </c>
    </row>
    <row r="28" spans="1:7" x14ac:dyDescent="0.2">
      <c r="A28" s="10">
        <v>24</v>
      </c>
      <c r="B28" s="11" t="s">
        <v>52</v>
      </c>
      <c r="C28" s="10" t="s">
        <v>49</v>
      </c>
      <c r="D28" s="17" t="s">
        <v>37</v>
      </c>
      <c r="E28" s="16" t="s">
        <v>29</v>
      </c>
      <c r="F28" s="10"/>
      <c r="G28" s="10" t="s">
        <v>86</v>
      </c>
    </row>
    <row r="29" spans="1:7" x14ac:dyDescent="0.2">
      <c r="A29" s="10">
        <v>25</v>
      </c>
      <c r="B29" s="11" t="s">
        <v>53</v>
      </c>
      <c r="C29" s="10" t="s">
        <v>39</v>
      </c>
      <c r="D29" s="17" t="s">
        <v>37</v>
      </c>
      <c r="E29" s="17" t="s">
        <v>37</v>
      </c>
      <c r="F29" s="10"/>
      <c r="G29" s="10" t="s">
        <v>86</v>
      </c>
    </row>
    <row r="30" spans="1:7" x14ac:dyDescent="0.2">
      <c r="A30" s="10">
        <v>26</v>
      </c>
      <c r="B30" s="11" t="s">
        <v>54</v>
      </c>
      <c r="C30" s="10" t="s">
        <v>45</v>
      </c>
      <c r="D30" s="17" t="s">
        <v>37</v>
      </c>
      <c r="E30" s="17" t="s">
        <v>37</v>
      </c>
      <c r="F30" s="10"/>
      <c r="G30" s="10" t="s">
        <v>86</v>
      </c>
    </row>
    <row r="31" spans="1:7" x14ac:dyDescent="0.2">
      <c r="A31" s="10">
        <v>27</v>
      </c>
      <c r="B31" s="11" t="s">
        <v>55</v>
      </c>
      <c r="C31" s="10" t="s">
        <v>28</v>
      </c>
      <c r="D31" s="17" t="s">
        <v>37</v>
      </c>
      <c r="E31" s="17" t="s">
        <v>37</v>
      </c>
      <c r="F31" s="10"/>
      <c r="G31" s="10" t="s">
        <v>86</v>
      </c>
    </row>
    <row r="32" spans="1:7" x14ac:dyDescent="0.2">
      <c r="A32" s="10">
        <v>28</v>
      </c>
      <c r="B32" s="11" t="s">
        <v>56</v>
      </c>
      <c r="C32" s="10" t="s">
        <v>23</v>
      </c>
      <c r="D32" s="17" t="s">
        <v>37</v>
      </c>
      <c r="E32" s="17" t="s">
        <v>37</v>
      </c>
      <c r="F32" s="10"/>
      <c r="G32" s="10" t="s">
        <v>86</v>
      </c>
    </row>
    <row r="33" spans="1:7" x14ac:dyDescent="0.2">
      <c r="A33" s="10">
        <v>29</v>
      </c>
      <c r="B33" s="11" t="s">
        <v>57</v>
      </c>
      <c r="C33" s="10" t="s">
        <v>49</v>
      </c>
      <c r="D33" s="17" t="s">
        <v>37</v>
      </c>
      <c r="E33" s="17" t="s">
        <v>37</v>
      </c>
      <c r="F33" s="10"/>
      <c r="G33" s="10" t="s">
        <v>86</v>
      </c>
    </row>
    <row r="34" spans="1:7" x14ac:dyDescent="0.2">
      <c r="A34" s="10">
        <v>30</v>
      </c>
      <c r="B34" s="11" t="s">
        <v>58</v>
      </c>
      <c r="C34" s="10" t="s">
        <v>34</v>
      </c>
      <c r="D34" s="17" t="s">
        <v>37</v>
      </c>
      <c r="E34" s="17" t="s">
        <v>37</v>
      </c>
      <c r="F34" s="10"/>
      <c r="G34" s="10" t="s">
        <v>86</v>
      </c>
    </row>
    <row r="35" spans="1:7" x14ac:dyDescent="0.2">
      <c r="A35" s="10">
        <v>31</v>
      </c>
      <c r="B35" s="11" t="s">
        <v>59</v>
      </c>
      <c r="C35" s="10" t="s">
        <v>16</v>
      </c>
      <c r="D35" s="17" t="s">
        <v>37</v>
      </c>
      <c r="E35" s="17" t="s">
        <v>37</v>
      </c>
      <c r="F35" s="10"/>
      <c r="G35" s="10" t="s">
        <v>86</v>
      </c>
    </row>
    <row r="36" spans="1:7" x14ac:dyDescent="0.2">
      <c r="A36" s="10">
        <v>32</v>
      </c>
      <c r="B36" s="11" t="s">
        <v>60</v>
      </c>
      <c r="C36" s="10" t="s">
        <v>45</v>
      </c>
      <c r="D36" s="17" t="s">
        <v>37</v>
      </c>
      <c r="E36" s="17" t="s">
        <v>37</v>
      </c>
      <c r="F36" s="10"/>
      <c r="G36" s="10" t="s">
        <v>86</v>
      </c>
    </row>
    <row r="37" spans="1:7" x14ac:dyDescent="0.2">
      <c r="A37" s="10">
        <v>33</v>
      </c>
      <c r="B37" s="11" t="s">
        <v>61</v>
      </c>
      <c r="C37" s="10" t="s">
        <v>20</v>
      </c>
      <c r="D37" s="18" t="s">
        <v>62</v>
      </c>
      <c r="E37" s="18" t="s">
        <v>62</v>
      </c>
      <c r="F37" s="10"/>
      <c r="G37" s="10" t="s">
        <v>86</v>
      </c>
    </row>
    <row r="38" spans="1:7" x14ac:dyDescent="0.2">
      <c r="A38" s="10">
        <v>34</v>
      </c>
      <c r="B38" s="11" t="s">
        <v>63</v>
      </c>
      <c r="C38" s="10" t="s">
        <v>39</v>
      </c>
      <c r="D38" s="18" t="s">
        <v>62</v>
      </c>
      <c r="E38" s="18" t="s">
        <v>62</v>
      </c>
      <c r="F38" s="10"/>
      <c r="G38" s="10" t="s">
        <v>86</v>
      </c>
    </row>
    <row r="39" spans="1:7" x14ac:dyDescent="0.2">
      <c r="A39" s="10">
        <v>35</v>
      </c>
      <c r="B39" s="11" t="s">
        <v>64</v>
      </c>
      <c r="C39" s="10" t="s">
        <v>34</v>
      </c>
      <c r="D39" s="18" t="s">
        <v>62</v>
      </c>
      <c r="E39" s="18" t="s">
        <v>62</v>
      </c>
      <c r="F39" s="10"/>
      <c r="G39" s="10" t="s">
        <v>86</v>
      </c>
    </row>
    <row r="40" spans="1:7" x14ac:dyDescent="0.2">
      <c r="A40" s="10">
        <v>36</v>
      </c>
      <c r="B40" s="11" t="s">
        <v>65</v>
      </c>
      <c r="C40" s="10" t="s">
        <v>31</v>
      </c>
      <c r="D40" s="18" t="s">
        <v>62</v>
      </c>
      <c r="E40" s="18" t="s">
        <v>62</v>
      </c>
      <c r="F40" s="10"/>
      <c r="G40" s="10" t="s">
        <v>86</v>
      </c>
    </row>
    <row r="41" spans="1:7" x14ac:dyDescent="0.2">
      <c r="A41" s="10">
        <v>37</v>
      </c>
      <c r="B41" s="11" t="s">
        <v>66</v>
      </c>
      <c r="C41" s="10" t="s">
        <v>26</v>
      </c>
      <c r="D41" s="18" t="s">
        <v>62</v>
      </c>
      <c r="E41" s="18" t="s">
        <v>62</v>
      </c>
      <c r="F41" s="10"/>
      <c r="G41" s="10" t="s">
        <v>86</v>
      </c>
    </row>
    <row r="42" spans="1:7" x14ac:dyDescent="0.2">
      <c r="A42" s="10">
        <v>38</v>
      </c>
      <c r="B42" s="11" t="s">
        <v>67</v>
      </c>
      <c r="C42" s="10" t="s">
        <v>8</v>
      </c>
      <c r="D42" s="18" t="s">
        <v>62</v>
      </c>
      <c r="E42" s="18" t="s">
        <v>62</v>
      </c>
      <c r="F42" s="10"/>
      <c r="G42" s="10" t="s">
        <v>86</v>
      </c>
    </row>
    <row r="43" spans="1:7" x14ac:dyDescent="0.2">
      <c r="A43" s="10">
        <v>39</v>
      </c>
      <c r="B43" s="11" t="s">
        <v>68</v>
      </c>
      <c r="C43" s="10" t="s">
        <v>12</v>
      </c>
      <c r="D43" s="18" t="s">
        <v>62</v>
      </c>
      <c r="E43" s="18" t="s">
        <v>62</v>
      </c>
      <c r="F43" s="10"/>
      <c r="G43" s="10" t="s">
        <v>86</v>
      </c>
    </row>
    <row r="44" spans="1:7" x14ac:dyDescent="0.2">
      <c r="A44" s="10">
        <v>40</v>
      </c>
      <c r="B44" s="11" t="s">
        <v>69</v>
      </c>
      <c r="C44" s="10" t="s">
        <v>23</v>
      </c>
      <c r="D44" s="18" t="s">
        <v>62</v>
      </c>
      <c r="E44" s="18" t="s">
        <v>62</v>
      </c>
      <c r="F44" s="10"/>
      <c r="G44" s="10" t="s">
        <v>86</v>
      </c>
    </row>
    <row r="45" spans="1:7" x14ac:dyDescent="0.2">
      <c r="A45" s="10">
        <v>41</v>
      </c>
      <c r="B45" s="11" t="s">
        <v>70</v>
      </c>
      <c r="C45" s="10" t="s">
        <v>34</v>
      </c>
      <c r="D45" s="18" t="s">
        <v>62</v>
      </c>
      <c r="E45" s="18" t="s">
        <v>62</v>
      </c>
      <c r="F45" s="10"/>
      <c r="G45" s="10" t="s">
        <v>86</v>
      </c>
    </row>
    <row r="46" spans="1:7" x14ac:dyDescent="0.2">
      <c r="A46" s="10">
        <v>42</v>
      </c>
      <c r="B46" s="11" t="s">
        <v>71</v>
      </c>
      <c r="C46" s="10" t="s">
        <v>16</v>
      </c>
      <c r="D46" s="18" t="s">
        <v>62</v>
      </c>
      <c r="E46" s="18" t="s">
        <v>62</v>
      </c>
      <c r="F46" s="10"/>
      <c r="G46" s="10" t="s">
        <v>86</v>
      </c>
    </row>
    <row r="47" spans="1:7" x14ac:dyDescent="0.2">
      <c r="A47" s="10">
        <v>43</v>
      </c>
      <c r="B47" s="11" t="s">
        <v>72</v>
      </c>
      <c r="C47" s="10" t="s">
        <v>49</v>
      </c>
      <c r="D47" s="18" t="s">
        <v>62</v>
      </c>
      <c r="E47" s="18" t="s">
        <v>62</v>
      </c>
      <c r="F47" s="10"/>
      <c r="G47" s="10" t="s">
        <v>86</v>
      </c>
    </row>
    <row r="48" spans="1:7" x14ac:dyDescent="0.2">
      <c r="A48" s="10">
        <v>44</v>
      </c>
      <c r="B48" s="11" t="s">
        <v>73</v>
      </c>
      <c r="C48" s="10" t="s">
        <v>8</v>
      </c>
      <c r="D48" s="18" t="s">
        <v>62</v>
      </c>
      <c r="E48" s="18" t="s">
        <v>62</v>
      </c>
      <c r="F48" s="10"/>
      <c r="G48" s="10" t="s">
        <v>86</v>
      </c>
    </row>
    <row r="49" spans="1:7" x14ac:dyDescent="0.2">
      <c r="A49" s="10">
        <v>45</v>
      </c>
      <c r="B49" s="11" t="s">
        <v>74</v>
      </c>
      <c r="C49" s="10" t="s">
        <v>45</v>
      </c>
      <c r="D49" s="18" t="s">
        <v>62</v>
      </c>
      <c r="E49" s="18" t="s">
        <v>62</v>
      </c>
      <c r="F49" s="10"/>
      <c r="G49" s="10" t="s">
        <v>86</v>
      </c>
    </row>
    <row r="50" spans="1:7" x14ac:dyDescent="0.2">
      <c r="A50" s="10">
        <v>46</v>
      </c>
      <c r="B50" s="11" t="s">
        <v>75</v>
      </c>
      <c r="C50" s="10" t="s">
        <v>26</v>
      </c>
      <c r="D50" s="18" t="s">
        <v>62</v>
      </c>
      <c r="E50" s="18" t="s">
        <v>62</v>
      </c>
      <c r="F50" s="10"/>
      <c r="G50" s="10" t="s">
        <v>86</v>
      </c>
    </row>
    <row r="51" spans="1:7" x14ac:dyDescent="0.2">
      <c r="A51" s="10">
        <v>47</v>
      </c>
      <c r="B51" s="11" t="s">
        <v>76</v>
      </c>
      <c r="C51" s="10" t="s">
        <v>28</v>
      </c>
      <c r="D51" s="18" t="s">
        <v>62</v>
      </c>
      <c r="E51" s="18" t="s">
        <v>62</v>
      </c>
      <c r="F51" s="10"/>
      <c r="G51" s="10" t="s">
        <v>86</v>
      </c>
    </row>
    <row r="52" spans="1:7" x14ac:dyDescent="0.2">
      <c r="A52" s="10">
        <v>48</v>
      </c>
      <c r="B52" s="11" t="s">
        <v>77</v>
      </c>
      <c r="C52" s="10" t="s">
        <v>20</v>
      </c>
      <c r="D52" s="18" t="s">
        <v>62</v>
      </c>
      <c r="E52" s="18" t="s">
        <v>62</v>
      </c>
      <c r="F52" s="10"/>
      <c r="G52" s="10" t="s">
        <v>86</v>
      </c>
    </row>
  </sheetData>
  <mergeCells count="2">
    <mergeCell ref="A1:G1"/>
    <mergeCell ref="A2:G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2"/>
  <sheetViews>
    <sheetView zoomScaleNormal="100" workbookViewId="0">
      <selection sqref="A1:D1"/>
    </sheetView>
  </sheetViews>
  <sheetFormatPr baseColWidth="10" defaultColWidth="8.6640625" defaultRowHeight="15" x14ac:dyDescent="0.2"/>
  <cols>
    <col min="1" max="1" width="22" customWidth="1"/>
    <col min="2" max="3" width="11" customWidth="1"/>
    <col min="4" max="4" width="12" customWidth="1"/>
  </cols>
  <sheetData>
    <row r="1" spans="1:4" ht="18" x14ac:dyDescent="0.2">
      <c r="A1" s="3" t="s">
        <v>78</v>
      </c>
      <c r="B1" s="3"/>
      <c r="C1" s="3"/>
      <c r="D1" s="3"/>
    </row>
    <row r="3" spans="1:4" x14ac:dyDescent="0.2">
      <c r="A3" s="19" t="s">
        <v>79</v>
      </c>
      <c r="B3" s="19" t="s">
        <v>80</v>
      </c>
      <c r="C3" s="19" t="s">
        <v>81</v>
      </c>
      <c r="D3" s="19" t="s">
        <v>82</v>
      </c>
    </row>
    <row r="4" spans="1:4" x14ac:dyDescent="0.2">
      <c r="A4" s="20" t="s">
        <v>10</v>
      </c>
      <c r="B4" s="21">
        <f>COUNTIF('Previsao por selecao'!D5:D52,"Campeão")</f>
        <v>1</v>
      </c>
      <c r="C4" s="21">
        <f>COUNTIF('Previsao por selecao'!E5:E52,"Campeã")</f>
        <v>1</v>
      </c>
      <c r="D4" s="21">
        <f t="shared" ref="D4:D11" si="0">C4-B4</f>
        <v>0</v>
      </c>
    </row>
    <row r="5" spans="1:4" x14ac:dyDescent="0.2">
      <c r="A5" s="22" t="s">
        <v>18</v>
      </c>
      <c r="B5" s="23">
        <f>COUNTIF('Previsao por selecao'!D5:D52,"Final (vice)")</f>
        <v>1</v>
      </c>
      <c r="C5" s="23">
        <f>COUNTIF('Previsao por selecao'!E5:E52,"Vice (final)")</f>
        <v>1</v>
      </c>
      <c r="D5" s="23">
        <f t="shared" si="0"/>
        <v>0</v>
      </c>
    </row>
    <row r="6" spans="1:4" x14ac:dyDescent="0.2">
      <c r="A6" s="24" t="s">
        <v>14</v>
      </c>
      <c r="B6" s="25">
        <f>COUNTIF('Previsao por selecao'!D5:D52,"Semifinais")/2</f>
        <v>1</v>
      </c>
      <c r="C6" s="26">
        <f>COUNTIF('Previsao por selecao'!E5:E52,"3º lugar")</f>
        <v>1</v>
      </c>
      <c r="D6" s="26">
        <f t="shared" si="0"/>
        <v>0</v>
      </c>
    </row>
    <row r="7" spans="1:4" x14ac:dyDescent="0.2">
      <c r="A7" s="27" t="s">
        <v>24</v>
      </c>
      <c r="B7" s="28">
        <f>COUNTIF('Previsao por selecao'!D5:D52,"Semifinais")/2</f>
        <v>1</v>
      </c>
      <c r="C7" s="29">
        <f>COUNTIF('Previsao por selecao'!E5:E52,"4º lugar")</f>
        <v>1</v>
      </c>
      <c r="D7" s="29">
        <f t="shared" si="0"/>
        <v>0</v>
      </c>
    </row>
    <row r="8" spans="1:4" x14ac:dyDescent="0.2">
      <c r="A8" s="30" t="s">
        <v>21</v>
      </c>
      <c r="B8" s="31">
        <f>COUNTIF('Previsao por selecao'!D5:D52,"Quartas de final")</f>
        <v>4</v>
      </c>
      <c r="C8" s="31">
        <f>COUNTIF('Previsao por selecao'!E5:E52,"Quartas de final")</f>
        <v>4</v>
      </c>
      <c r="D8" s="31">
        <f t="shared" si="0"/>
        <v>0</v>
      </c>
    </row>
    <row r="9" spans="1:4" x14ac:dyDescent="0.2">
      <c r="A9" s="32" t="s">
        <v>29</v>
      </c>
      <c r="B9" s="33">
        <f>COUNTIF('Previsao por selecao'!D5:D52,"Oitavas de final")</f>
        <v>8</v>
      </c>
      <c r="C9" s="33">
        <f>COUNTIF('Previsao por selecao'!E5:E52,"Oitavas de final")</f>
        <v>8</v>
      </c>
      <c r="D9" s="33">
        <f t="shared" si="0"/>
        <v>0</v>
      </c>
    </row>
    <row r="10" spans="1:4" x14ac:dyDescent="0.2">
      <c r="A10" s="34" t="s">
        <v>37</v>
      </c>
      <c r="B10" s="35">
        <f>COUNTIF('Previsao por selecao'!D5:D52,"Round of 32")</f>
        <v>16</v>
      </c>
      <c r="C10" s="35">
        <f>COUNTIF('Previsao por selecao'!E5:E52,"Round of 32")</f>
        <v>16</v>
      </c>
      <c r="D10" s="35">
        <f t="shared" si="0"/>
        <v>0</v>
      </c>
    </row>
    <row r="11" spans="1:4" x14ac:dyDescent="0.2">
      <c r="A11" s="36" t="s">
        <v>62</v>
      </c>
      <c r="B11" s="37">
        <f>COUNTIF('Previsao por selecao'!D5:D52,"Fase de grupos")</f>
        <v>16</v>
      </c>
      <c r="C11" s="37">
        <f>COUNTIF('Previsao por selecao'!E5:E52,"Fase de grupos")</f>
        <v>16</v>
      </c>
      <c r="D11" s="37">
        <f t="shared" si="0"/>
        <v>0</v>
      </c>
    </row>
    <row r="12" spans="1:4" x14ac:dyDescent="0.2">
      <c r="A12" s="38" t="s">
        <v>83</v>
      </c>
      <c r="B12" s="39">
        <f>SUM(B4:B11)</f>
        <v>48</v>
      </c>
      <c r="C12" s="39">
        <f>SUM(C4:C11)</f>
        <v>48</v>
      </c>
      <c r="D12" s="39">
        <f>SUM(D4:D11)</f>
        <v>0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5"/>
  <sheetViews>
    <sheetView zoomScaleNormal="100" workbookViewId="0">
      <selection activeCell="C6" sqref="C6"/>
    </sheetView>
  </sheetViews>
  <sheetFormatPr baseColWidth="10" defaultColWidth="8.6640625" defaultRowHeight="15" x14ac:dyDescent="0.2"/>
  <cols>
    <col min="1" max="1" width="26" customWidth="1"/>
    <col min="2" max="2" width="4" customWidth="1"/>
    <col min="3" max="3" width="26" customWidth="1"/>
  </cols>
  <sheetData>
    <row r="1" spans="1:4" ht="18" x14ac:dyDescent="0.2">
      <c r="A1" s="3" t="s">
        <v>84</v>
      </c>
      <c r="B1" s="3"/>
      <c r="C1" s="3"/>
      <c r="D1" s="3"/>
    </row>
    <row r="3" spans="1:4" ht="16" x14ac:dyDescent="0.2">
      <c r="A3" s="1" t="s">
        <v>85</v>
      </c>
      <c r="B3" s="1"/>
      <c r="C3" s="1"/>
    </row>
    <row r="4" spans="1:4" x14ac:dyDescent="0.2">
      <c r="A4" s="40" t="s">
        <v>54</v>
      </c>
      <c r="B4" s="41" t="s">
        <v>86</v>
      </c>
      <c r="C4" s="42" t="s">
        <v>52</v>
      </c>
    </row>
    <row r="5" spans="1:4" x14ac:dyDescent="0.2">
      <c r="A5" s="42" t="s">
        <v>27</v>
      </c>
      <c r="B5" s="41" t="s">
        <v>86</v>
      </c>
      <c r="C5" s="40" t="s">
        <v>53</v>
      </c>
    </row>
    <row r="6" spans="1:4" x14ac:dyDescent="0.2">
      <c r="A6" s="42" t="s">
        <v>30</v>
      </c>
      <c r="B6" s="41" t="s">
        <v>86</v>
      </c>
      <c r="C6" s="40" t="s">
        <v>36</v>
      </c>
    </row>
    <row r="7" spans="1:4" x14ac:dyDescent="0.2">
      <c r="A7" s="42" t="s">
        <v>19</v>
      </c>
      <c r="B7" s="41" t="s">
        <v>86</v>
      </c>
      <c r="C7" s="40" t="s">
        <v>40</v>
      </c>
    </row>
    <row r="8" spans="1:4" x14ac:dyDescent="0.2">
      <c r="A8" s="42" t="s">
        <v>11</v>
      </c>
      <c r="B8" s="41" t="s">
        <v>86</v>
      </c>
      <c r="C8" s="40" t="s">
        <v>47</v>
      </c>
    </row>
    <row r="9" spans="1:4" x14ac:dyDescent="0.2">
      <c r="A9" s="40" t="s">
        <v>43</v>
      </c>
      <c r="B9" s="41" t="s">
        <v>86</v>
      </c>
      <c r="C9" s="42" t="s">
        <v>32</v>
      </c>
    </row>
    <row r="10" spans="1:4" x14ac:dyDescent="0.2">
      <c r="A10" s="42" t="s">
        <v>44</v>
      </c>
      <c r="B10" s="41" t="s">
        <v>86</v>
      </c>
      <c r="C10" s="40" t="s">
        <v>55</v>
      </c>
    </row>
    <row r="11" spans="1:4" x14ac:dyDescent="0.2">
      <c r="A11" s="42" t="s">
        <v>15</v>
      </c>
      <c r="B11" s="41" t="s">
        <v>86</v>
      </c>
      <c r="C11" s="40" t="s">
        <v>46</v>
      </c>
    </row>
    <row r="12" spans="1:4" x14ac:dyDescent="0.2">
      <c r="A12" s="42" t="s">
        <v>38</v>
      </c>
      <c r="B12" s="41" t="s">
        <v>86</v>
      </c>
      <c r="C12" s="40" t="s">
        <v>57</v>
      </c>
    </row>
    <row r="13" spans="1:4" x14ac:dyDescent="0.2">
      <c r="A13" s="42" t="s">
        <v>33</v>
      </c>
      <c r="B13" s="41" t="s">
        <v>86</v>
      </c>
      <c r="C13" s="40" t="s">
        <v>60</v>
      </c>
    </row>
    <row r="14" spans="1:4" x14ac:dyDescent="0.2">
      <c r="A14" s="42" t="s">
        <v>35</v>
      </c>
      <c r="B14" s="41" t="s">
        <v>86</v>
      </c>
      <c r="C14" s="40" t="s">
        <v>42</v>
      </c>
    </row>
    <row r="15" spans="1:4" x14ac:dyDescent="0.2">
      <c r="A15" s="42" t="s">
        <v>7</v>
      </c>
      <c r="B15" s="41" t="s">
        <v>86</v>
      </c>
      <c r="C15" s="40" t="s">
        <v>51</v>
      </c>
    </row>
    <row r="16" spans="1:4" x14ac:dyDescent="0.2">
      <c r="A16" s="42" t="s">
        <v>48</v>
      </c>
      <c r="B16" s="41" t="s">
        <v>86</v>
      </c>
      <c r="C16" s="40" t="s">
        <v>56</v>
      </c>
    </row>
    <row r="17" spans="1:3" x14ac:dyDescent="0.2">
      <c r="A17" s="42" t="s">
        <v>22</v>
      </c>
      <c r="B17" s="41" t="s">
        <v>86</v>
      </c>
      <c r="C17" s="40" t="s">
        <v>41</v>
      </c>
    </row>
    <row r="18" spans="1:3" x14ac:dyDescent="0.2">
      <c r="A18" s="42" t="s">
        <v>25</v>
      </c>
      <c r="B18" s="41" t="s">
        <v>86</v>
      </c>
      <c r="C18" s="40" t="s">
        <v>59</v>
      </c>
    </row>
    <row r="19" spans="1:3" x14ac:dyDescent="0.2">
      <c r="A19" s="42" t="s">
        <v>50</v>
      </c>
      <c r="B19" s="41" t="s">
        <v>86</v>
      </c>
      <c r="C19" s="40" t="s">
        <v>58</v>
      </c>
    </row>
    <row r="21" spans="1:3" ht="16" x14ac:dyDescent="0.2">
      <c r="A21" s="1" t="s">
        <v>87</v>
      </c>
      <c r="B21" s="1"/>
      <c r="C21" s="1"/>
    </row>
    <row r="22" spans="1:3" x14ac:dyDescent="0.2">
      <c r="A22" s="40" t="s">
        <v>27</v>
      </c>
      <c r="B22" s="41" t="s">
        <v>86</v>
      </c>
      <c r="C22" s="42" t="s">
        <v>11</v>
      </c>
    </row>
    <row r="23" spans="1:3" x14ac:dyDescent="0.2">
      <c r="A23" s="40" t="s">
        <v>52</v>
      </c>
      <c r="B23" s="41" t="s">
        <v>86</v>
      </c>
      <c r="C23" s="42" t="s">
        <v>30</v>
      </c>
    </row>
    <row r="24" spans="1:3" x14ac:dyDescent="0.2">
      <c r="A24" s="42" t="s">
        <v>19</v>
      </c>
      <c r="B24" s="41" t="s">
        <v>86</v>
      </c>
      <c r="C24" s="40" t="s">
        <v>32</v>
      </c>
    </row>
    <row r="25" spans="1:3" x14ac:dyDescent="0.2">
      <c r="A25" s="40" t="s">
        <v>44</v>
      </c>
      <c r="B25" s="41" t="s">
        <v>86</v>
      </c>
      <c r="C25" s="42" t="s">
        <v>15</v>
      </c>
    </row>
    <row r="26" spans="1:3" x14ac:dyDescent="0.2">
      <c r="A26" s="40" t="s">
        <v>35</v>
      </c>
      <c r="B26" s="41" t="s">
        <v>86</v>
      </c>
      <c r="C26" s="42" t="s">
        <v>7</v>
      </c>
    </row>
    <row r="27" spans="1:3" x14ac:dyDescent="0.2">
      <c r="A27" s="40" t="s">
        <v>38</v>
      </c>
      <c r="B27" s="41" t="s">
        <v>86</v>
      </c>
      <c r="C27" s="42" t="s">
        <v>33</v>
      </c>
    </row>
    <row r="28" spans="1:3" x14ac:dyDescent="0.2">
      <c r="A28" s="42" t="s">
        <v>22</v>
      </c>
      <c r="B28" s="41" t="s">
        <v>86</v>
      </c>
      <c r="C28" s="40" t="s">
        <v>50</v>
      </c>
    </row>
    <row r="29" spans="1:3" x14ac:dyDescent="0.2">
      <c r="A29" s="40" t="s">
        <v>48</v>
      </c>
      <c r="B29" s="41" t="s">
        <v>86</v>
      </c>
      <c r="C29" s="42" t="s">
        <v>25</v>
      </c>
    </row>
    <row r="31" spans="1:3" ht="16" x14ac:dyDescent="0.2">
      <c r="A31" s="1" t="s">
        <v>88</v>
      </c>
      <c r="B31" s="1"/>
      <c r="C31" s="1"/>
    </row>
    <row r="32" spans="1:3" x14ac:dyDescent="0.2">
      <c r="A32" s="42" t="s">
        <v>11</v>
      </c>
      <c r="B32" s="41" t="s">
        <v>86</v>
      </c>
      <c r="C32" s="40" t="s">
        <v>30</v>
      </c>
    </row>
    <row r="33" spans="1:3" x14ac:dyDescent="0.2">
      <c r="A33" s="42" t="s">
        <v>7</v>
      </c>
      <c r="B33" s="41" t="s">
        <v>86</v>
      </c>
      <c r="C33" s="40" t="s">
        <v>33</v>
      </c>
    </row>
    <row r="34" spans="1:3" x14ac:dyDescent="0.2">
      <c r="A34" s="40" t="s">
        <v>19</v>
      </c>
      <c r="B34" s="41" t="s">
        <v>86</v>
      </c>
      <c r="C34" s="42" t="s">
        <v>15</v>
      </c>
    </row>
    <row r="35" spans="1:3" x14ac:dyDescent="0.2">
      <c r="A35" s="42" t="s">
        <v>22</v>
      </c>
      <c r="B35" s="41" t="s">
        <v>86</v>
      </c>
      <c r="C35" s="40" t="s">
        <v>25</v>
      </c>
    </row>
    <row r="37" spans="1:3" ht="16" x14ac:dyDescent="0.2">
      <c r="A37" s="1" t="s">
        <v>89</v>
      </c>
      <c r="B37" s="1"/>
      <c r="C37" s="1"/>
    </row>
    <row r="38" spans="1:3" x14ac:dyDescent="0.2">
      <c r="A38" s="40" t="s">
        <v>11</v>
      </c>
      <c r="B38" s="41" t="s">
        <v>86</v>
      </c>
      <c r="C38" s="42" t="s">
        <v>7</v>
      </c>
    </row>
    <row r="39" spans="1:3" x14ac:dyDescent="0.2">
      <c r="A39" s="42" t="s">
        <v>15</v>
      </c>
      <c r="B39" s="41" t="s">
        <v>86</v>
      </c>
      <c r="C39" s="40" t="s">
        <v>22</v>
      </c>
    </row>
    <row r="41" spans="1:3" ht="16" x14ac:dyDescent="0.2">
      <c r="A41" s="1" t="s">
        <v>90</v>
      </c>
      <c r="B41" s="1"/>
      <c r="C41" s="1"/>
    </row>
    <row r="42" spans="1:3" x14ac:dyDescent="0.2">
      <c r="A42" s="42" t="s">
        <v>11</v>
      </c>
      <c r="B42" s="41" t="s">
        <v>86</v>
      </c>
      <c r="C42" s="40" t="s">
        <v>22</v>
      </c>
    </row>
    <row r="44" spans="1:3" ht="16" x14ac:dyDescent="0.2">
      <c r="A44" s="1" t="s">
        <v>91</v>
      </c>
      <c r="B44" s="1"/>
      <c r="C44" s="1"/>
    </row>
    <row r="45" spans="1:3" x14ac:dyDescent="0.2">
      <c r="A45" s="42" t="s">
        <v>7</v>
      </c>
      <c r="B45" s="41" t="s">
        <v>86</v>
      </c>
      <c r="C45" s="40" t="s">
        <v>15</v>
      </c>
    </row>
  </sheetData>
  <mergeCells count="7">
    <mergeCell ref="A41:C41"/>
    <mergeCell ref="A44:C44"/>
    <mergeCell ref="A1:D1"/>
    <mergeCell ref="A3:C3"/>
    <mergeCell ref="A21:C21"/>
    <mergeCell ref="A31:C31"/>
    <mergeCell ref="A37:C37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5"/>
  <sheetViews>
    <sheetView zoomScaleNormal="100" workbookViewId="0">
      <selection sqref="A1:C1"/>
    </sheetView>
  </sheetViews>
  <sheetFormatPr baseColWidth="10" defaultColWidth="8.6640625" defaultRowHeight="15" x14ac:dyDescent="0.2"/>
  <cols>
    <col min="1" max="1" width="38" customWidth="1"/>
    <col min="2" max="2" width="12" customWidth="1"/>
    <col min="3" max="3" width="36" customWidth="1"/>
  </cols>
  <sheetData>
    <row r="1" spans="1:3" ht="18" x14ac:dyDescent="0.2">
      <c r="A1" s="3" t="s">
        <v>92</v>
      </c>
      <c r="B1" s="3"/>
      <c r="C1" s="3"/>
    </row>
    <row r="3" spans="1:3" x14ac:dyDescent="0.2">
      <c r="A3" s="19" t="s">
        <v>93</v>
      </c>
      <c r="B3" s="19" t="s">
        <v>94</v>
      </c>
      <c r="C3" s="19" t="s">
        <v>95</v>
      </c>
    </row>
    <row r="4" spans="1:3" x14ac:dyDescent="0.2">
      <c r="A4" s="43" t="s">
        <v>96</v>
      </c>
      <c r="B4" s="44"/>
      <c r="C4" s="43"/>
    </row>
    <row r="5" spans="1:3" x14ac:dyDescent="0.2">
      <c r="A5" s="45" t="s">
        <v>97</v>
      </c>
      <c r="B5" s="46" t="s">
        <v>98</v>
      </c>
      <c r="C5" s="45" t="s">
        <v>99</v>
      </c>
    </row>
    <row r="6" spans="1:3" x14ac:dyDescent="0.2">
      <c r="A6" s="45" t="s">
        <v>100</v>
      </c>
      <c r="B6" s="46" t="s">
        <v>101</v>
      </c>
      <c r="C6" s="45" t="s">
        <v>102</v>
      </c>
    </row>
    <row r="7" spans="1:3" x14ac:dyDescent="0.2">
      <c r="A7" s="45" t="s">
        <v>103</v>
      </c>
      <c r="B7" s="46" t="s">
        <v>104</v>
      </c>
      <c r="C7" s="45"/>
    </row>
    <row r="8" spans="1:3" x14ac:dyDescent="0.2">
      <c r="A8" s="45" t="s">
        <v>105</v>
      </c>
      <c r="B8" s="46" t="s">
        <v>106</v>
      </c>
      <c r="C8" s="45"/>
    </row>
    <row r="9" spans="1:3" x14ac:dyDescent="0.2">
      <c r="A9" s="47"/>
      <c r="B9" s="48"/>
      <c r="C9" s="47"/>
    </row>
    <row r="10" spans="1:3" ht="30" x14ac:dyDescent="0.2">
      <c r="A10" s="43" t="s">
        <v>107</v>
      </c>
      <c r="B10" s="44"/>
      <c r="C10" s="43"/>
    </row>
    <row r="11" spans="1:3" x14ac:dyDescent="0.2">
      <c r="A11" s="45" t="s">
        <v>62</v>
      </c>
      <c r="B11" s="46" t="s">
        <v>108</v>
      </c>
      <c r="C11" s="45"/>
    </row>
    <row r="12" spans="1:3" x14ac:dyDescent="0.2">
      <c r="A12" s="45" t="s">
        <v>37</v>
      </c>
      <c r="B12" s="46" t="s">
        <v>109</v>
      </c>
      <c r="C12" s="45"/>
    </row>
    <row r="13" spans="1:3" x14ac:dyDescent="0.2">
      <c r="A13" s="45" t="s">
        <v>29</v>
      </c>
      <c r="B13" s="46" t="s">
        <v>110</v>
      </c>
      <c r="C13" s="45"/>
    </row>
    <row r="14" spans="1:3" x14ac:dyDescent="0.2">
      <c r="A14" s="45" t="s">
        <v>111</v>
      </c>
      <c r="B14" s="46" t="s">
        <v>112</v>
      </c>
      <c r="C14" s="45"/>
    </row>
    <row r="15" spans="1:3" x14ac:dyDescent="0.2">
      <c r="A15" s="45" t="s">
        <v>17</v>
      </c>
      <c r="B15" s="46" t="s">
        <v>113</v>
      </c>
      <c r="C15" s="45"/>
    </row>
    <row r="16" spans="1:3" x14ac:dyDescent="0.2">
      <c r="A16" s="45" t="s">
        <v>114</v>
      </c>
      <c r="B16" s="46" t="s">
        <v>115</v>
      </c>
      <c r="C16" s="45" t="s">
        <v>116</v>
      </c>
    </row>
    <row r="17" spans="1:3" x14ac:dyDescent="0.2">
      <c r="A17" s="47"/>
      <c r="B17" s="48"/>
      <c r="C17" s="47"/>
    </row>
    <row r="18" spans="1:3" x14ac:dyDescent="0.2">
      <c r="A18" s="43" t="s">
        <v>117</v>
      </c>
      <c r="B18" s="44"/>
      <c r="C18" s="43"/>
    </row>
    <row r="19" spans="1:3" x14ac:dyDescent="0.2">
      <c r="A19" s="45" t="s">
        <v>118</v>
      </c>
      <c r="B19" s="46" t="s">
        <v>98</v>
      </c>
      <c r="C19" s="45" t="s">
        <v>119</v>
      </c>
    </row>
    <row r="20" spans="1:3" x14ac:dyDescent="0.2">
      <c r="A20" s="45" t="s">
        <v>120</v>
      </c>
      <c r="B20" s="46" t="s">
        <v>121</v>
      </c>
      <c r="C20" s="45" t="s">
        <v>122</v>
      </c>
    </row>
    <row r="21" spans="1:3" x14ac:dyDescent="0.2">
      <c r="A21" s="45" t="s">
        <v>123</v>
      </c>
      <c r="B21" s="46" t="s">
        <v>121</v>
      </c>
      <c r="C21" s="45"/>
    </row>
    <row r="22" spans="1:3" x14ac:dyDescent="0.2">
      <c r="A22" s="45" t="s">
        <v>124</v>
      </c>
      <c r="B22" s="46" t="s">
        <v>121</v>
      </c>
      <c r="C22" s="45"/>
    </row>
    <row r="23" spans="1:3" x14ac:dyDescent="0.2">
      <c r="A23" s="45" t="s">
        <v>125</v>
      </c>
      <c r="B23" s="46" t="s">
        <v>121</v>
      </c>
      <c r="C23" s="45"/>
    </row>
    <row r="24" spans="1:3" x14ac:dyDescent="0.2">
      <c r="A24" s="45" t="s">
        <v>126</v>
      </c>
      <c r="B24" s="46" t="s">
        <v>127</v>
      </c>
      <c r="C24" s="45"/>
    </row>
    <row r="25" spans="1:3" x14ac:dyDescent="0.2">
      <c r="A25" s="45" t="s">
        <v>128</v>
      </c>
      <c r="B25" s="46" t="s">
        <v>127</v>
      </c>
      <c r="C25" s="45"/>
    </row>
  </sheetData>
  <mergeCells count="1">
    <mergeCell ref="A1:C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Previsao por selecao</vt:lpstr>
      <vt:lpstr>Resumo por fase</vt:lpstr>
      <vt:lpstr>Chaveamento</vt:lpstr>
      <vt:lpstr>Pontuacao do bolao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FERNANDO OLIVEIRA  MASAGAO (sc147702 )</cp:lastModifiedBy>
  <cp:revision>0</cp:revision>
  <dcterms:created xsi:type="dcterms:W3CDTF">2026-06-03T20:58:32Z</dcterms:created>
  <dcterms:modified xsi:type="dcterms:W3CDTF">2026-06-03T21:02:42Z</dcterms:modified>
  <dc:language>en-US</dc:language>
</cp:coreProperties>
</file>